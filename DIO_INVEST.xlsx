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SERVICE-282\Downloads\"/>
    </mc:Choice>
  </mc:AlternateContent>
  <xr:revisionPtr revIDLastSave="0" documentId="13_ncr:1_{326BE5BD-DD9D-45BC-A5B0-CFB3EDEAC75C}" xr6:coauthVersionLast="47" xr6:coauthVersionMax="47" xr10:uidLastSave="{00000000-0000-0000-0000-000000000000}"/>
  <bookViews>
    <workbookView xWindow="-108" yWindow="-108" windowWidth="23256" windowHeight="12456" activeTab="1" xr2:uid="{FFA71486-DFBE-45A3-A3D1-49FEF26152DE}"/>
  </bookViews>
  <sheets>
    <sheet name="Planilha1" sheetId="1" r:id="rId1"/>
    <sheet name="Planilha2" sheetId="2" r:id="rId2"/>
  </sheets>
  <definedNames>
    <definedName name="aporte">Planilha1!$D$17</definedName>
    <definedName name="patrimonio_acumulado">Planilha1!$D$20</definedName>
    <definedName name="qtd_anos">Planilha1!$D$18</definedName>
    <definedName name="rendimento_carteira">Planilha1!$D$13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6" i="1" s="1"/>
  <c r="C37" i="1"/>
  <c r="D37" i="1" s="1"/>
  <c r="C38" i="1"/>
  <c r="D38" i="1" s="1"/>
  <c r="C39" i="1"/>
  <c r="D39" i="1" s="1"/>
  <c r="C40" i="1"/>
  <c r="D40" i="1" s="1"/>
  <c r="C35" i="1"/>
  <c r="D35" i="1" s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2" i="1"/>
  <c r="D20" i="1"/>
  <c r="D21" i="1" s="1"/>
  <c r="D14" i="1"/>
  <c r="C25" i="1"/>
  <c r="D25" i="1" s="1"/>
  <c r="C26" i="1"/>
  <c r="D26" i="1" s="1"/>
  <c r="C27" i="1"/>
  <c r="D27" i="1" s="1"/>
  <c r="C28" i="1"/>
  <c r="D28" i="1" s="1"/>
  <c r="C24" i="1"/>
  <c r="D24" i="1" s="1"/>
  <c r="D41" i="1" l="1"/>
</calcChain>
</file>

<file path=xl/sharedStrings.xml><?xml version="1.0" encoding="utf-8"?>
<sst xmlns="http://schemas.openxmlformats.org/spreadsheetml/2006/main" count="69" uniqueCount="33">
  <si>
    <t>INVESTIMENTO MENSAL</t>
  </si>
  <si>
    <t>Quantos em 2 Anos?</t>
  </si>
  <si>
    <t>Quantos em 5 Anos?</t>
  </si>
  <si>
    <t>Quantos em 10 Anos?</t>
  </si>
  <si>
    <t>Quantos em 20 Anos?</t>
  </si>
  <si>
    <t>Quantos em 30 Anos?</t>
  </si>
  <si>
    <t>CONFIGURAÇÕES</t>
  </si>
  <si>
    <t>Salário</t>
  </si>
  <si>
    <t>Rendimento Carteira</t>
  </si>
  <si>
    <t>Sugestão de Investimento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</si>
  <si>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</si>
  <si>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</si>
  <si>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</si>
  <si>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</si>
  <si>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</si>
  <si>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</si>
  <si>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</si>
  <si>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Perfil</t>
  </si>
  <si>
    <t>Agressivo</t>
  </si>
  <si>
    <t>Conservador</t>
  </si>
  <si>
    <t>Moderado</t>
  </si>
  <si>
    <t>PERFIL</t>
  </si>
  <si>
    <t>VALOR A SER INVESTIDO</t>
  </si>
  <si>
    <t>TIPO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</si>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</sst>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 tint="0.34998626667073579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4" borderId="3" xfId="0" applyFont="1" applyFill="1" applyBorder="1" applyAlignment="1">
      <alignment horizontal="left" vertical="center"/>
    </xf>
    <xf numFmtId="164" fontId="0" fillId="3" borderId="5" xfId="0" applyNumberFormat="1" applyFont="1" applyFill="1" applyBorder="1" applyAlignment="1">
      <alignment horizontal="center"/>
    </xf>
    <xf numFmtId="164" fontId="0" fillId="3" borderId="6" xfId="0" applyNumberFormat="1" applyFont="1" applyFill="1" applyBorder="1" applyAlignment="1">
      <alignment horizontal="center"/>
    </xf>
    <xf numFmtId="164" fontId="0" fillId="3" borderId="8" xfId="0" applyNumberFormat="1" applyFont="1" applyFill="1" applyBorder="1" applyAlignment="1">
      <alignment horizontal="center"/>
    </xf>
    <xf numFmtId="164" fontId="0" fillId="3" borderId="9" xfId="0" applyNumberFormat="1" applyFont="1" applyFill="1" applyBorder="1" applyAlignment="1">
      <alignment horizontal="center"/>
    </xf>
    <xf numFmtId="164" fontId="0" fillId="3" borderId="11" xfId="0" applyNumberFormat="1" applyFont="1" applyFill="1" applyBorder="1" applyAlignment="1">
      <alignment horizontal="center"/>
    </xf>
    <xf numFmtId="164" fontId="0" fillId="3" borderId="12" xfId="0" applyNumberFormat="1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0" fontId="1" fillId="0" borderId="9" xfId="0" applyNumberFormat="1" applyFont="1" applyBorder="1" applyAlignment="1">
      <alignment horizontal="center"/>
    </xf>
    <xf numFmtId="8" fontId="1" fillId="3" borderId="9" xfId="0" applyNumberFormat="1" applyFont="1" applyFill="1" applyBorder="1" applyAlignment="1">
      <alignment horizontal="center"/>
    </xf>
    <xf numFmtId="8" fontId="1" fillId="3" borderId="12" xfId="0" applyNumberFormat="1" applyFont="1" applyFill="1" applyBorder="1" applyAlignment="1">
      <alignment horizontal="center"/>
    </xf>
    <xf numFmtId="164" fontId="0" fillId="0" borderId="6" xfId="0" applyNumberFormat="1" applyFill="1" applyBorder="1" applyAlignment="1">
      <alignment horizontal="left"/>
    </xf>
    <xf numFmtId="10" fontId="0" fillId="0" borderId="9" xfId="0" applyNumberFormat="1" applyFill="1" applyBorder="1" applyAlignment="1">
      <alignment horizontal="left"/>
    </xf>
    <xf numFmtId="164" fontId="0" fillId="0" borderId="12" xfId="0" applyNumberFormat="1" applyFill="1" applyBorder="1" applyAlignment="1">
      <alignment horizontal="left"/>
    </xf>
    <xf numFmtId="164" fontId="7" fillId="6" borderId="4" xfId="0" applyNumberFormat="1" applyFont="1" applyFill="1" applyBorder="1" applyAlignment="1">
      <alignment horizontal="left" indent="3"/>
    </xf>
    <xf numFmtId="164" fontId="7" fillId="6" borderId="5" xfId="0" applyNumberFormat="1" applyFont="1" applyFill="1" applyBorder="1" applyAlignment="1">
      <alignment horizontal="left" indent="3"/>
    </xf>
    <xf numFmtId="164" fontId="7" fillId="6" borderId="7" xfId="0" applyNumberFormat="1" applyFont="1" applyFill="1" applyBorder="1" applyAlignment="1">
      <alignment horizontal="left" indent="3"/>
    </xf>
    <xf numFmtId="164" fontId="7" fillId="6" borderId="8" xfId="0" applyNumberFormat="1" applyFont="1" applyFill="1" applyBorder="1" applyAlignment="1">
      <alignment horizontal="left" indent="3"/>
    </xf>
    <xf numFmtId="0" fontId="7" fillId="6" borderId="10" xfId="0" applyFont="1" applyFill="1" applyBorder="1" applyAlignment="1">
      <alignment horizontal="left" indent="3"/>
    </xf>
    <xf numFmtId="0" fontId="7" fillId="6" borderId="11" xfId="0" applyFont="1" applyFill="1" applyBorder="1" applyAlignment="1">
      <alignment horizontal="left" indent="3"/>
    </xf>
    <xf numFmtId="0" fontId="8" fillId="0" borderId="4" xfId="0" applyFont="1" applyBorder="1" applyAlignment="1">
      <alignment horizontal="left" indent="3"/>
    </xf>
    <xf numFmtId="0" fontId="8" fillId="0" borderId="5" xfId="0" applyFont="1" applyBorder="1" applyAlignment="1">
      <alignment horizontal="left" indent="3"/>
    </xf>
    <xf numFmtId="0" fontId="8" fillId="0" borderId="7" xfId="0" applyFont="1" applyBorder="1" applyAlignment="1">
      <alignment horizontal="left" indent="3"/>
    </xf>
    <xf numFmtId="0" fontId="8" fillId="0" borderId="8" xfId="0" applyFont="1" applyBorder="1" applyAlignment="1">
      <alignment horizontal="left" indent="3"/>
    </xf>
    <xf numFmtId="0" fontId="9" fillId="3" borderId="7" xfId="0" applyFont="1" applyFill="1" applyBorder="1" applyAlignment="1">
      <alignment horizontal="left" indent="3"/>
    </xf>
    <xf numFmtId="0" fontId="9" fillId="3" borderId="8" xfId="0" applyFont="1" applyFill="1" applyBorder="1" applyAlignment="1">
      <alignment horizontal="left" indent="3"/>
    </xf>
    <xf numFmtId="0" fontId="9" fillId="3" borderId="10" xfId="0" applyFont="1" applyFill="1" applyBorder="1" applyAlignment="1">
      <alignment horizontal="left" indent="3"/>
    </xf>
    <xf numFmtId="0" fontId="9" fillId="3" borderId="11" xfId="0" applyFont="1" applyFill="1" applyBorder="1" applyAlignment="1">
      <alignment horizontal="left" indent="3"/>
    </xf>
    <xf numFmtId="0" fontId="7" fillId="3" borderId="4" xfId="0" applyFont="1" applyFill="1" applyBorder="1" applyAlignment="1">
      <alignment horizontal="left" indent="3"/>
    </xf>
    <xf numFmtId="0" fontId="7" fillId="3" borderId="7" xfId="0" applyFont="1" applyFill="1" applyBorder="1" applyAlignment="1">
      <alignment horizontal="left" indent="3"/>
    </xf>
    <xf numFmtId="0" fontId="7" fillId="3" borderId="10" xfId="0" applyFont="1" applyFill="1" applyBorder="1" applyAlignment="1">
      <alignment horizontal="left" indent="3"/>
    </xf>
    <xf numFmtId="0" fontId="6" fillId="5" borderId="0" xfId="2"/>
    <xf numFmtId="0" fontId="6" fillId="5" borderId="0" xfId="2" applyBorder="1" applyAlignment="1">
      <alignment horizontal="left"/>
    </xf>
    <xf numFmtId="164" fontId="0" fillId="0" borderId="0" xfId="0" applyNumberFormat="1"/>
    <xf numFmtId="0" fontId="1" fillId="0" borderId="0" xfId="0" applyFont="1"/>
    <xf numFmtId="0" fontId="6" fillId="5" borderId="0" xfId="2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/>
    <xf numFmtId="164" fontId="1" fillId="7" borderId="0" xfId="0" applyNumberFormat="1" applyFont="1" applyFill="1"/>
    <xf numFmtId="0" fontId="0" fillId="0" borderId="13" xfId="0" applyBorder="1"/>
    <xf numFmtId="9" fontId="0" fillId="0" borderId="0" xfId="1" applyFont="1"/>
    <xf numFmtId="9" fontId="0" fillId="0" borderId="13" xfId="1" applyFont="1" applyBorder="1"/>
    <xf numFmtId="9" fontId="0" fillId="0" borderId="0" xfId="1" applyFont="1" applyFill="1" applyBorder="1"/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215153</xdr:colOff>
      <xdr:row>0</xdr:row>
      <xdr:rowOff>8964</xdr:rowOff>
    </xdr:from>
    <xdr:to>
      <xdr:col>4</xdr:col>
      <xdr:colOff>134471</xdr:colOff>
      <xdr:row>9</xdr:row>
      <xdr:rowOff>123264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F5971B-DB0E-4D33-7A85-833A586FFC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" t="4167" r="96"/>
        <a:stretch>
          <a:fillRect/>
        </a:stretch>
      </xdr:blipFill>
      <xdr:spPr>
        <a:xfrm>
          <a:off x="215153" y="8964"/>
          <a:ext cx="5065059" cy="1727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F5D8-7B80-4A6C-8D37-22A9134072A9}">
  <dimension ref="A10:F41"/>
  <sheetViews>
    <sheetView showGridLines="0" topLeftCell="A17" zoomScale="85" zoomScaleNormal="85" workbookViewId="0">
      <selection activeCell="C31" sqref="C31"/>
    </sheetView>
  </sheetViews>
  <sheetFormatPr defaultColWidth="0" defaultRowHeight="14.4" x14ac:dyDescent="0.3"/>
  <cols>
    <col min="1" max="1" width="4.6640625" customWidth="1"/>
    <col min="2" max="2" width="30" bestFit="1" customWidth="1"/>
    <col min="3" max="3" width="28.33203125" customWidth="1"/>
    <col min="4" max="4" width="11.88671875" bestFit="1" customWidth="1"/>
    <col min="5" max="6" width="3.77734375" customWidth="1"/>
    <col min="7" max="9" width="8.88671875" hidden="1" customWidth="1"/>
    <col min="10" max="16384" width="8.88671875" hidden="1"/>
  </cols>
  <sheetData>
    <row r="10" spans="2:4" ht="15" thickBot="1" x14ac:dyDescent="0.35"/>
    <row r="11" spans="2:4" ht="27.6" customHeight="1" x14ac:dyDescent="0.3">
      <c r="B11" s="5" t="s">
        <v>6</v>
      </c>
      <c r="C11" s="9"/>
      <c r="D11" s="6"/>
    </row>
    <row r="12" spans="2:4" ht="15.6" x14ac:dyDescent="0.3">
      <c r="B12" s="24" t="s">
        <v>7</v>
      </c>
      <c r="C12" s="25"/>
      <c r="D12" s="21">
        <v>5000</v>
      </c>
    </row>
    <row r="13" spans="2:4" ht="15.6" x14ac:dyDescent="0.3">
      <c r="B13" s="26" t="s">
        <v>8</v>
      </c>
      <c r="C13" s="27"/>
      <c r="D13" s="22">
        <v>6.0000000000000001E-3</v>
      </c>
    </row>
    <row r="14" spans="2:4" ht="16.2" thickBot="1" x14ac:dyDescent="0.35">
      <c r="B14" s="28" t="s">
        <v>9</v>
      </c>
      <c r="C14" s="29"/>
      <c r="D14" s="23">
        <f>D12*30%</f>
        <v>1500</v>
      </c>
    </row>
    <row r="15" spans="2:4" ht="15" thickBot="1" x14ac:dyDescent="0.35"/>
    <row r="16" spans="2:4" ht="18" x14ac:dyDescent="0.3">
      <c r="B16" s="3" t="s">
        <v>0</v>
      </c>
      <c r="C16" s="7"/>
      <c r="D16" s="4"/>
    </row>
    <row r="17" spans="1:4" ht="15.6" x14ac:dyDescent="0.3">
      <c r="B17" s="30" t="s">
        <v>10</v>
      </c>
      <c r="C17" s="31"/>
      <c r="D17" s="16">
        <v>500</v>
      </c>
    </row>
    <row r="18" spans="1:4" ht="15.6" x14ac:dyDescent="0.3">
      <c r="B18" s="32" t="s">
        <v>11</v>
      </c>
      <c r="C18" s="33"/>
      <c r="D18" s="17">
        <v>5</v>
      </c>
    </row>
    <row r="19" spans="1:4" ht="15.6" x14ac:dyDescent="0.3">
      <c r="B19" s="32" t="s">
        <v>12</v>
      </c>
      <c r="C19" s="33"/>
      <c r="D19" s="18">
        <v>5.9999999999999995E-4</v>
      </c>
    </row>
    <row r="20" spans="1:4" ht="15.6" x14ac:dyDescent="0.3">
      <c r="B20" s="34" t="s">
        <v>13</v>
      </c>
      <c r="C20" s="35"/>
      <c r="D20" s="19">
        <f>FV(rendimento_carteira,qtd_anos*12,aporte*-1)</f>
        <v>35982.367668429237</v>
      </c>
    </row>
    <row r="21" spans="1:4" ht="16.2" thickBot="1" x14ac:dyDescent="0.35">
      <c r="B21" s="36" t="s">
        <v>14</v>
      </c>
      <c r="C21" s="37"/>
      <c r="D21" s="20">
        <f>patrimonio_acumulado*rendimento_carteira</f>
        <v>215.89420601057543</v>
      </c>
    </row>
    <row r="22" spans="1:4" ht="15" thickBot="1" x14ac:dyDescent="0.35"/>
    <row r="23" spans="1:4" ht="18" x14ac:dyDescent="0.3">
      <c r="B23" s="3" t="s">
        <v>15</v>
      </c>
      <c r="C23" s="7"/>
      <c r="D23" s="2" t="s">
        <v>16</v>
      </c>
    </row>
    <row r="24" spans="1:4" ht="15.6" x14ac:dyDescent="0.3">
      <c r="A24" s="1">
        <v>2</v>
      </c>
      <c r="B24" s="38" t="s">
        <v>1</v>
      </c>
      <c r="C24" s="10">
        <f>FV($D$19,A24*12,$D$17*-1)</f>
        <v>12083.165470366623</v>
      </c>
      <c r="D24" s="11">
        <f>C24*rendimento_carteira</f>
        <v>72.498992822199739</v>
      </c>
    </row>
    <row r="25" spans="1:4" ht="15.6" x14ac:dyDescent="0.3">
      <c r="A25" s="1">
        <v>5</v>
      </c>
      <c r="B25" s="39" t="s">
        <v>2</v>
      </c>
      <c r="C25" s="12">
        <f>FV($D$19,A25*12,$D$17*-1)</f>
        <v>30537.212620438961</v>
      </c>
      <c r="D25" s="13">
        <f>C25*rendimento_carteira</f>
        <v>183.22327572263376</v>
      </c>
    </row>
    <row r="26" spans="1:4" ht="15.6" x14ac:dyDescent="0.3">
      <c r="A26" s="1">
        <v>10</v>
      </c>
      <c r="B26" s="39" t="s">
        <v>3</v>
      </c>
      <c r="C26" s="12">
        <f>FV($D$19,A26*12,$D$17*-1)</f>
        <v>62193.450866429215</v>
      </c>
      <c r="D26" s="13">
        <f>C26*rendimento_carteira</f>
        <v>373.16070519857527</v>
      </c>
    </row>
    <row r="27" spans="1:4" ht="15.6" x14ac:dyDescent="0.3">
      <c r="A27" s="1">
        <v>20</v>
      </c>
      <c r="B27" s="39" t="s">
        <v>4</v>
      </c>
      <c r="C27" s="12">
        <f>FV($D$19,A27*12,$D$17*-1)</f>
        <v>129028.53212966803</v>
      </c>
      <c r="D27" s="13">
        <f>C27*rendimento_carteira</f>
        <v>774.17119277800828</v>
      </c>
    </row>
    <row r="28" spans="1:4" ht="16.2" thickBot="1" x14ac:dyDescent="0.35">
      <c r="A28" s="1">
        <v>30</v>
      </c>
      <c r="B28" s="40" t="s">
        <v>5</v>
      </c>
      <c r="C28" s="14">
        <f>FV($D$19,A28*12,$D$17*-1)</f>
        <v>200851.65860414554</v>
      </c>
      <c r="D28" s="15">
        <f>C28*rendimento_carteira</f>
        <v>1205.1099516248732</v>
      </c>
    </row>
    <row r="31" spans="1:4" x14ac:dyDescent="0.3">
      <c r="B31" s="42" t="s">
        <v>21</v>
      </c>
      <c r="C31" s="45" t="s">
        <v>19</v>
      </c>
      <c r="D31" s="41"/>
    </row>
    <row r="32" spans="1:4" x14ac:dyDescent="0.3">
      <c r="B32" s="44" t="s">
        <v>22</v>
      </c>
      <c r="C32" s="46">
        <f>aporte</f>
        <v>500</v>
      </c>
      <c r="D32" s="44"/>
    </row>
    <row r="34" spans="2:4" x14ac:dyDescent="0.3">
      <c r="B34" s="49" t="s">
        <v>23</v>
      </c>
      <c r="C34" s="49" t="s">
        <v>24</v>
      </c>
      <c r="D34" s="49" t="s">
        <v>25</v>
      </c>
    </row>
    <row r="35" spans="2:4" x14ac:dyDescent="0.3">
      <c r="B35" s="8" t="s">
        <v>26</v>
      </c>
      <c r="C35" s="48">
        <f>VLOOKUP($C$31&amp;"-"&amp;B35,Planilha2!A:D,4,0)</f>
        <v>0.3</v>
      </c>
      <c r="D35" s="43">
        <f>C35*$C$32</f>
        <v>150</v>
      </c>
    </row>
    <row r="36" spans="2:4" x14ac:dyDescent="0.3">
      <c r="B36" s="8" t="s">
        <v>27</v>
      </c>
      <c r="C36" s="48">
        <f>VLOOKUP($C$31&amp;"-"&amp;B36,Planilha2!A:D,4,0)</f>
        <v>0.5</v>
      </c>
      <c r="D36" s="43">
        <f t="shared" ref="D36:D40" si="0">C36*$C$32</f>
        <v>250</v>
      </c>
    </row>
    <row r="37" spans="2:4" x14ac:dyDescent="0.3">
      <c r="B37" s="8" t="s">
        <v>28</v>
      </c>
      <c r="C37" s="48">
        <f>VLOOKUP($C$31&amp;"-"&amp;B37,Planilha2!A:D,4,0)</f>
        <v>0.1</v>
      </c>
      <c r="D37" s="43">
        <f t="shared" si="0"/>
        <v>50</v>
      </c>
    </row>
    <row r="38" spans="2:4" x14ac:dyDescent="0.3">
      <c r="B38" s="8" t="s">
        <v>29</v>
      </c>
      <c r="C38" s="48">
        <f>VLOOKUP($C$31&amp;"-"&amp;B38,Planilha2!A:D,4,0)</f>
        <v>0.1</v>
      </c>
      <c r="D38" s="43">
        <f t="shared" si="0"/>
        <v>50</v>
      </c>
    </row>
    <row r="39" spans="2:4" x14ac:dyDescent="0.3">
      <c r="B39" s="8" t="s">
        <v>30</v>
      </c>
      <c r="C39" s="48">
        <f>VLOOKUP($C$31&amp;"-"&amp;B39,Planilha2!A:D,4,0)</f>
        <v>0</v>
      </c>
      <c r="D39" s="43">
        <f t="shared" si="0"/>
        <v>0</v>
      </c>
    </row>
    <row r="40" spans="2:4" x14ac:dyDescent="0.3">
      <c r="B40" s="8" t="s">
        <v>31</v>
      </c>
      <c r="C40" s="48">
        <f>VLOOKUP($C$31&amp;"-"&amp;B40,Planilha2!A:D,4,0)</f>
        <v>0</v>
      </c>
      <c r="D40" s="43">
        <f t="shared" si="0"/>
        <v>0</v>
      </c>
    </row>
    <row r="41" spans="2:4" x14ac:dyDescent="0.3">
      <c r="B41" s="50"/>
      <c r="C41" s="50"/>
      <c r="D41" s="51">
        <f>SUM(D35:D40)</f>
        <v>500</v>
      </c>
    </row>
  </sheetData>
  <mergeCells count="11">
    <mergeCell ref="B23:C23"/>
    <mergeCell ref="B12:C12"/>
    <mergeCell ref="B13:C13"/>
    <mergeCell ref="B14:C14"/>
    <mergeCell ref="B17:C17"/>
    <mergeCell ref="B18:C18"/>
    <mergeCell ref="B19:C19"/>
    <mergeCell ref="B20:C20"/>
    <mergeCell ref="B21:C21"/>
    <mergeCell ref="B11:D11"/>
    <mergeCell ref="B16:D16"/>
  </mergeCells>
  <dataValidations count="1">
    <dataValidation type="list" allowBlank="1" showInputMessage="1" showErrorMessage="1" sqref="C31" xr:uid="{7F38FD51-5966-4CC4-8D7A-03A9CC367D4A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F532-BBFC-48FC-8EB8-2EAE2ECF8701}">
  <dimension ref="A2:D20"/>
  <sheetViews>
    <sheetView tabSelected="1" workbookViewId="0">
      <selection activeCell="D9" sqref="D9:D14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4" max="4" width="21.109375" bestFit="1" customWidth="1"/>
  </cols>
  <sheetData>
    <row r="2" spans="1:4" x14ac:dyDescent="0.3">
      <c r="A2" t="s">
        <v>32</v>
      </c>
      <c r="B2" t="s">
        <v>17</v>
      </c>
      <c r="C2" t="s">
        <v>23</v>
      </c>
      <c r="D2" t="s">
        <v>24</v>
      </c>
    </row>
    <row r="3" spans="1:4" x14ac:dyDescent="0.3">
      <c r="A3" t="str">
        <f>B3&amp;"-"&amp;C3</f>
        <v>Conservador-PAPEL</v>
      </c>
      <c r="B3" t="s">
        <v>19</v>
      </c>
      <c r="C3" t="s">
        <v>26</v>
      </c>
      <c r="D3">
        <v>0.3</v>
      </c>
    </row>
    <row r="4" spans="1:4" x14ac:dyDescent="0.3">
      <c r="A4" t="str">
        <f t="shared" ref="A4:A20" si="0">B4&amp;"-"&amp;C4</f>
        <v>Conservador-TIJOLO</v>
      </c>
      <c r="B4" t="s">
        <v>19</v>
      </c>
      <c r="C4" t="s">
        <v>27</v>
      </c>
      <c r="D4">
        <v>0.5</v>
      </c>
    </row>
    <row r="5" spans="1:4" x14ac:dyDescent="0.3">
      <c r="A5" t="str">
        <f t="shared" si="0"/>
        <v>Conservador-HÍBRIDOS</v>
      </c>
      <c r="B5" t="s">
        <v>19</v>
      </c>
      <c r="C5" t="s">
        <v>28</v>
      </c>
      <c r="D5">
        <v>0.1</v>
      </c>
    </row>
    <row r="6" spans="1:4" x14ac:dyDescent="0.3">
      <c r="A6" t="str">
        <f t="shared" si="0"/>
        <v>Conservador-FOF's</v>
      </c>
      <c r="B6" t="s">
        <v>19</v>
      </c>
      <c r="C6" t="s">
        <v>29</v>
      </c>
      <c r="D6">
        <v>0.1</v>
      </c>
    </row>
    <row r="7" spans="1:4" x14ac:dyDescent="0.3">
      <c r="A7" t="str">
        <f t="shared" si="0"/>
        <v>Conservador-DESENVOLVIMENTO</v>
      </c>
      <c r="B7" t="s">
        <v>19</v>
      </c>
      <c r="C7" t="s">
        <v>30</v>
      </c>
      <c r="D7">
        <v>0</v>
      </c>
    </row>
    <row r="8" spans="1:4" ht="15" thickBot="1" x14ac:dyDescent="0.35">
      <c r="A8" s="52" t="str">
        <f t="shared" si="0"/>
        <v>Conservador-HOTELARIAS</v>
      </c>
      <c r="B8" s="52" t="s">
        <v>19</v>
      </c>
      <c r="C8" s="52" t="s">
        <v>31</v>
      </c>
      <c r="D8" s="52">
        <v>0</v>
      </c>
    </row>
    <row r="9" spans="1:4" x14ac:dyDescent="0.3">
      <c r="A9" t="str">
        <f t="shared" si="0"/>
        <v>Moderado-PAPEL</v>
      </c>
      <c r="B9" t="s">
        <v>20</v>
      </c>
      <c r="C9" t="s">
        <v>26</v>
      </c>
      <c r="D9" s="47">
        <v>0.32</v>
      </c>
    </row>
    <row r="10" spans="1:4" x14ac:dyDescent="0.3">
      <c r="A10" t="str">
        <f t="shared" si="0"/>
        <v>Moderado-TIJOLO</v>
      </c>
      <c r="B10" t="s">
        <v>20</v>
      </c>
      <c r="C10" t="s">
        <v>27</v>
      </c>
      <c r="D10" s="47">
        <v>0.35</v>
      </c>
    </row>
    <row r="11" spans="1:4" x14ac:dyDescent="0.3">
      <c r="A11" t="str">
        <f t="shared" si="0"/>
        <v>Moderado-HÍBRIDOS</v>
      </c>
      <c r="B11" t="s">
        <v>20</v>
      </c>
      <c r="C11" t="s">
        <v>28</v>
      </c>
      <c r="D11" s="47">
        <v>0.08</v>
      </c>
    </row>
    <row r="12" spans="1:4" x14ac:dyDescent="0.3">
      <c r="A12" t="str">
        <f t="shared" si="0"/>
        <v>Moderado-FOF's</v>
      </c>
      <c r="B12" t="s">
        <v>20</v>
      </c>
      <c r="C12" t="s">
        <v>29</v>
      </c>
      <c r="D12" s="47">
        <v>0.05</v>
      </c>
    </row>
    <row r="13" spans="1:4" x14ac:dyDescent="0.3">
      <c r="A13" t="str">
        <f t="shared" si="0"/>
        <v>Moderado-DESENVOLVIMENTO</v>
      </c>
      <c r="B13" t="s">
        <v>20</v>
      </c>
      <c r="C13" t="s">
        <v>30</v>
      </c>
      <c r="D13" s="53">
        <v>0.1</v>
      </c>
    </row>
    <row r="14" spans="1:4" ht="15" thickBot="1" x14ac:dyDescent="0.35">
      <c r="A14" s="52" t="str">
        <f t="shared" si="0"/>
        <v>Moderado-HOTELARIAS</v>
      </c>
      <c r="B14" s="52" t="s">
        <v>20</v>
      </c>
      <c r="C14" s="52" t="s">
        <v>31</v>
      </c>
      <c r="D14" s="54">
        <v>0.1</v>
      </c>
    </row>
    <row r="15" spans="1:4" x14ac:dyDescent="0.3">
      <c r="A15" t="str">
        <f t="shared" si="0"/>
        <v>Agressivo-PAPEL</v>
      </c>
      <c r="B15" t="s">
        <v>18</v>
      </c>
      <c r="C15" t="s">
        <v>26</v>
      </c>
      <c r="D15" s="55">
        <v>0.5</v>
      </c>
    </row>
    <row r="16" spans="1:4" x14ac:dyDescent="0.3">
      <c r="A16" t="str">
        <f t="shared" si="0"/>
        <v>Agressivo-TIJOLO</v>
      </c>
      <c r="B16" t="s">
        <v>18</v>
      </c>
      <c r="C16" t="s">
        <v>27</v>
      </c>
      <c r="D16" s="55">
        <v>0.1</v>
      </c>
    </row>
    <row r="17" spans="1:4" x14ac:dyDescent="0.3">
      <c r="A17" t="str">
        <f t="shared" si="0"/>
        <v>Agressivo-HÍBRIDOS</v>
      </c>
      <c r="B17" t="s">
        <v>18</v>
      </c>
      <c r="C17" t="s">
        <v>28</v>
      </c>
      <c r="D17" s="55">
        <v>0.05</v>
      </c>
    </row>
    <row r="18" spans="1:4" x14ac:dyDescent="0.3">
      <c r="A18" t="str">
        <f t="shared" si="0"/>
        <v>Agressivo-FOF's</v>
      </c>
      <c r="B18" t="s">
        <v>18</v>
      </c>
      <c r="C18" t="s">
        <v>29</v>
      </c>
      <c r="D18" s="55">
        <v>0.05</v>
      </c>
    </row>
    <row r="19" spans="1:4" x14ac:dyDescent="0.3">
      <c r="A19" t="str">
        <f t="shared" si="0"/>
        <v>Agressivo-DESENVOLVIMENTO</v>
      </c>
      <c r="B19" t="s">
        <v>18</v>
      </c>
      <c r="C19" t="s">
        <v>30</v>
      </c>
      <c r="D19" s="55">
        <v>0.2</v>
      </c>
    </row>
    <row r="20" spans="1:4" x14ac:dyDescent="0.3">
      <c r="A20" t="str">
        <f t="shared" si="0"/>
        <v>Agressivo-HOTELARIAS</v>
      </c>
      <c r="B20" t="s">
        <v>18</v>
      </c>
      <c r="C20" t="s">
        <v>31</v>
      </c>
      <c r="D20" s="5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patrimonio_acumulado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reis</dc:creator>
  <cp:lastModifiedBy>ronan reis</cp:lastModifiedBy>
  <dcterms:created xsi:type="dcterms:W3CDTF">2025-12-19T19:00:47Z</dcterms:created>
  <dcterms:modified xsi:type="dcterms:W3CDTF">2026-01-13T21:22:22Z</dcterms:modified>
</cp:coreProperties>
</file>